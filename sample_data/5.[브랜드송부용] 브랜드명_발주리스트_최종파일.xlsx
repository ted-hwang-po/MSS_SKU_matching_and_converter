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NSA\Desktop\뷰티바잉\4. 발주리스트\0330(월) 입고예정\"/>
    </mc:Choice>
  </mc:AlternateContent>
  <xr:revisionPtr revIDLastSave="0" documentId="13_ncr:1_{D138E2AB-47E4-4DD5-BE95-89352D16971A}" xr6:coauthVersionLast="47" xr6:coauthVersionMax="47" xr10:uidLastSave="{00000000-0000-0000-0000-000000000000}"/>
  <bookViews>
    <workbookView xWindow="-110" yWindow="-110" windowWidth="38620" windowHeight="15500" xr2:uid="{DFAB6664-CC1E-43A3-A95C-53241E0D1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N7" i="1" s="1"/>
  <c r="M10" i="1"/>
  <c r="M7" i="1" s="1"/>
  <c r="O9" i="1"/>
  <c r="O7" i="1" s="1"/>
  <c r="N9" i="1"/>
  <c r="M9" i="1"/>
  <c r="O8" i="1"/>
  <c r="N8" i="1"/>
  <c r="M8" i="1"/>
  <c r="J7" i="1"/>
  <c r="I9" i="1"/>
  <c r="I10" i="1"/>
  <c r="I11" i="1"/>
  <c r="I8" i="1"/>
  <c r="L7" i="1" l="1"/>
  <c r="I7" i="1"/>
</calcChain>
</file>

<file path=xl/sharedStrings.xml><?xml version="1.0" encoding="utf-8"?>
<sst xmlns="http://schemas.openxmlformats.org/spreadsheetml/2006/main" count="24" uniqueCount="21">
  <si>
    <t>브랜드명</t>
  </si>
  <si>
    <t>88코드</t>
  </si>
  <si>
    <t>상품번호</t>
  </si>
  <si>
    <t>상품명</t>
  </si>
  <si>
    <t>3/30(월)</t>
    <phoneticPr fontId="2" type="noConversion"/>
  </si>
  <si>
    <t>TOTAL</t>
    <phoneticPr fontId="2" type="noConversion"/>
  </si>
  <si>
    <t>지정입고일</t>
    <phoneticPr fontId="2" type="noConversion"/>
  </si>
  <si>
    <t>상시행사가
(VAT 포함)</t>
    <phoneticPr fontId="2" type="noConversion"/>
  </si>
  <si>
    <t>정상가
(VAT 포함)</t>
    <phoneticPr fontId="2" type="noConversion"/>
  </si>
  <si>
    <t>공급가
(VAT 제외)</t>
    <phoneticPr fontId="2" type="noConversion"/>
  </si>
  <si>
    <t>총 발주금액
(VAT 제외)</t>
    <phoneticPr fontId="2" type="noConversion"/>
  </si>
  <si>
    <t>발주수량
(오프)</t>
    <phoneticPr fontId="2" type="noConversion"/>
  </si>
  <si>
    <t>체이싱래빗</t>
  </si>
  <si>
    <t>체이싱래빗 올어바웃 글로우 커버크림(35g)</t>
  </si>
  <si>
    <t>체이싱래빗_올어바웃글로우톤업크림</t>
  </si>
  <si>
    <t>체이싱래빗 올어바웃 글로우 커버쿠션 #쿨 라이트</t>
  </si>
  <si>
    <t>체이싱래빗 올어바웃 글로우 커버쿠션 #웜 내추럴</t>
  </si>
  <si>
    <t>공급률</t>
    <phoneticPr fontId="2" type="noConversion"/>
  </si>
  <si>
    <t>공급가
(vat제외)</t>
    <phoneticPr fontId="2" type="noConversion"/>
  </si>
  <si>
    <t>정상가
(vat포함)</t>
    <phoneticPr fontId="2" type="noConversion"/>
  </si>
  <si>
    <t>예상GMV
(VAT포함)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</si>
</sst>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41" fontId="4" fillId="0" borderId="1" xfId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77" fontId="4" fillId="0" borderId="0" xfId="2" applyNumberFormat="1" applyFont="1">
      <alignment vertical="center"/>
    </xf>
    <xf numFmtId="41" fontId="4" fillId="0" borderId="0" xfId="1" applyFont="1">
      <alignment vertical="center"/>
    </xf>
    <xf numFmtId="177" fontId="0" fillId="0" borderId="0" xfId="2" applyNumberFormat="1" applyFont="1">
      <alignment vertical="center"/>
    </xf>
    <xf numFmtId="41" fontId="0" fillId="0" borderId="0" xfId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D9B5-DC0C-4AA8-A5FB-251EBAD76524}">
  <dimension ref="B2:O16"/>
  <sheetViews>
    <sheetView tabSelected="1" workbookViewId="0">
      <selection activeCell="E17" sqref="E17"/>
    </sheetView>
  </sheetViews>
  <sheetFormatPr defaultRowHeight="17" x14ac:dyDescent="0.45"/>
  <cols>
    <col min="1" max="1" width="3.08203125" customWidth="1"/>
    <col min="2" max="2" width="16" customWidth="1"/>
    <col min="3" max="3" width="19.1640625" customWidth="1"/>
    <col min="4" max="4" width="11.6640625" customWidth="1"/>
    <col min="5" max="5" width="53.25" customWidth="1"/>
    <col min="6" max="6" width="13.5" customWidth="1"/>
    <col min="7" max="7" width="13.75" customWidth="1"/>
    <col min="8" max="8" width="15.5" customWidth="1"/>
    <col min="9" max="9" width="13.25" customWidth="1"/>
    <col min="10" max="10" width="10.4140625" customWidth="1"/>
    <col min="11" max="11" width="6.1640625" customWidth="1"/>
    <col min="13" max="13" width="15.25" customWidth="1"/>
    <col min="14" max="14" width="14.4140625" customWidth="1"/>
    <col min="15" max="15" width="26.9140625" customWidth="1"/>
  </cols>
  <sheetData>
    <row r="2" spans="2:15" x14ac:dyDescent="0.45">
      <c r="B2" s="5" t="s">
        <v>6</v>
      </c>
      <c r="C2" s="6" t="s">
        <v>4</v>
      </c>
    </row>
    <row r="4" spans="2:15" x14ac:dyDescent="0.45">
      <c r="B4" s="4"/>
    </row>
    <row r="6" spans="2:15" ht="37.5" customHeight="1" x14ac:dyDescent="0.45">
      <c r="B6" s="9" t="s">
        <v>0</v>
      </c>
      <c r="C6" s="9" t="s">
        <v>1</v>
      </c>
      <c r="D6" s="9" t="s">
        <v>2</v>
      </c>
      <c r="E6" s="9" t="s">
        <v>3</v>
      </c>
      <c r="F6" s="10" t="s">
        <v>9</v>
      </c>
      <c r="G6" s="10" t="s">
        <v>8</v>
      </c>
      <c r="H6" s="10" t="s">
        <v>7</v>
      </c>
      <c r="I6" s="8" t="s">
        <v>10</v>
      </c>
      <c r="J6" s="8" t="s">
        <v>11</v>
      </c>
      <c r="L6" s="14" t="s">
        <v>17</v>
      </c>
      <c r="M6" s="15" t="s">
        <v>18</v>
      </c>
      <c r="N6" s="15" t="s">
        <v>19</v>
      </c>
      <c r="O6" s="15" t="s">
        <v>20</v>
      </c>
    </row>
    <row r="7" spans="2:15" ht="19" customHeight="1" x14ac:dyDescent="0.45">
      <c r="B7" s="11" t="s">
        <v>5</v>
      </c>
      <c r="C7" s="12"/>
      <c r="D7" s="12"/>
      <c r="E7" s="12"/>
      <c r="F7" s="12"/>
      <c r="G7" s="12"/>
      <c r="H7" s="11"/>
      <c r="I7" s="13">
        <f>SUM(I8:I11)</f>
        <v>3282680</v>
      </c>
      <c r="J7" s="13">
        <f>SUM(J8:J11)</f>
        <v>520</v>
      </c>
      <c r="L7" s="16">
        <f>M7*1.1/N7</f>
        <v>0.36109480000000005</v>
      </c>
      <c r="M7" s="17">
        <f>SUM(M8:M16)</f>
        <v>3282680</v>
      </c>
      <c r="N7" s="17">
        <f>SUM(N8:N16)</f>
        <v>10000000</v>
      </c>
      <c r="O7" s="17">
        <f>SUM(O8:O16)</f>
        <v>8024000</v>
      </c>
    </row>
    <row r="8" spans="2:15" x14ac:dyDescent="0.45">
      <c r="B8" s="1" t="s">
        <v>12</v>
      </c>
      <c r="C8" s="2">
        <v>8809917321244</v>
      </c>
      <c r="D8" s="1">
        <v>6163874</v>
      </c>
      <c r="E8" s="1" t="s">
        <v>13</v>
      </c>
      <c r="F8" s="3">
        <v>6955</v>
      </c>
      <c r="G8" s="3">
        <v>20000</v>
      </c>
      <c r="H8" s="3">
        <v>17000</v>
      </c>
      <c r="I8" s="7">
        <f>J8*F8</f>
        <v>834600</v>
      </c>
      <c r="J8" s="1">
        <v>120</v>
      </c>
      <c r="L8" s="18"/>
      <c r="M8" s="19">
        <f>F8*J8</f>
        <v>834600</v>
      </c>
      <c r="N8" s="19">
        <f>G8*J8</f>
        <v>2400000</v>
      </c>
      <c r="O8" s="19">
        <f>H8*J8</f>
        <v>2040000</v>
      </c>
    </row>
    <row r="9" spans="2:15" x14ac:dyDescent="0.45">
      <c r="B9" s="1" t="s">
        <v>12</v>
      </c>
      <c r="C9" s="2">
        <v>8809917321596</v>
      </c>
      <c r="D9" s="1">
        <v>6163875</v>
      </c>
      <c r="E9" s="1" t="s">
        <v>14</v>
      </c>
      <c r="F9" s="3">
        <v>4091</v>
      </c>
      <c r="G9" s="3">
        <v>13000</v>
      </c>
      <c r="H9" s="3">
        <v>10000</v>
      </c>
      <c r="I9" s="7">
        <f t="shared" ref="I9:I11" si="0">J9*F9</f>
        <v>981840</v>
      </c>
      <c r="J9" s="1">
        <v>240</v>
      </c>
      <c r="L9" s="18"/>
      <c r="M9" s="19">
        <f t="shared" ref="M9:M16" si="1">F9*J9</f>
        <v>981840</v>
      </c>
      <c r="N9" s="19">
        <f t="shared" ref="N9:N16" si="2">G9*J9</f>
        <v>3120000</v>
      </c>
      <c r="O9" s="19">
        <f t="shared" ref="O9:O16" si="3">H9*J9</f>
        <v>2400000</v>
      </c>
    </row>
    <row r="10" spans="2:15" x14ac:dyDescent="0.45">
      <c r="B10" s="1" t="s">
        <v>12</v>
      </c>
      <c r="C10" s="2">
        <v>8809917321978</v>
      </c>
      <c r="D10" s="1">
        <v>6163876</v>
      </c>
      <c r="E10" s="1" t="s">
        <v>15</v>
      </c>
      <c r="F10" s="3">
        <v>9164</v>
      </c>
      <c r="G10" s="3">
        <v>28000</v>
      </c>
      <c r="H10" s="3">
        <v>22400</v>
      </c>
      <c r="I10" s="7">
        <f t="shared" si="0"/>
        <v>733120</v>
      </c>
      <c r="J10" s="1">
        <v>80</v>
      </c>
      <c r="L10" s="18"/>
      <c r="M10" s="19">
        <f t="shared" si="1"/>
        <v>733120</v>
      </c>
      <c r="N10" s="19">
        <f t="shared" si="2"/>
        <v>2240000</v>
      </c>
      <c r="O10" s="19">
        <f t="shared" si="3"/>
        <v>1792000</v>
      </c>
    </row>
    <row r="11" spans="2:15" x14ac:dyDescent="0.45">
      <c r="B11" s="1" t="s">
        <v>12</v>
      </c>
      <c r="C11" s="2">
        <v>8809917321985</v>
      </c>
      <c r="D11" s="1">
        <v>6163876</v>
      </c>
      <c r="E11" s="1" t="s">
        <v>16</v>
      </c>
      <c r="F11" s="3">
        <v>9164</v>
      </c>
      <c r="G11" s="3">
        <v>28000</v>
      </c>
      <c r="H11" s="3">
        <v>22400</v>
      </c>
      <c r="I11" s="7">
        <f t="shared" si="0"/>
        <v>733120</v>
      </c>
      <c r="J11" s="1">
        <v>80</v>
      </c>
      <c r="L11" s="18"/>
      <c r="M11" s="19">
        <f t="shared" si="1"/>
        <v>733120</v>
      </c>
      <c r="N11" s="19">
        <f t="shared" si="2"/>
        <v>2240000</v>
      </c>
      <c r="O11" s="19">
        <f t="shared" si="3"/>
        <v>1792000</v>
      </c>
    </row>
    <row r="12" spans="2:15" x14ac:dyDescent="0.45">
      <c r="L12" s="18"/>
      <c r="M12" s="19">
        <f t="shared" si="1"/>
        <v>0</v>
      </c>
      <c r="N12" s="19">
        <f t="shared" si="2"/>
        <v>0</v>
      </c>
      <c r="O12" s="19">
        <f t="shared" si="3"/>
        <v>0</v>
      </c>
    </row>
    <row r="13" spans="2:15" x14ac:dyDescent="0.45">
      <c r="M13" s="19">
        <f t="shared" si="1"/>
        <v>0</v>
      </c>
      <c r="N13" s="19">
        <f t="shared" si="2"/>
        <v>0</v>
      </c>
      <c r="O13" s="19">
        <f t="shared" si="3"/>
        <v>0</v>
      </c>
    </row>
    <row r="14" spans="2:15" x14ac:dyDescent="0.45">
      <c r="M14" s="19">
        <f t="shared" si="1"/>
        <v>0</v>
      </c>
      <c r="N14" s="19">
        <f t="shared" si="2"/>
        <v>0</v>
      </c>
      <c r="O14" s="19">
        <f t="shared" si="3"/>
        <v>0</v>
      </c>
    </row>
    <row r="15" spans="2:15" x14ac:dyDescent="0.45">
      <c r="M15" s="19">
        <f t="shared" si="1"/>
        <v>0</v>
      </c>
      <c r="N15" s="19">
        <f t="shared" si="2"/>
        <v>0</v>
      </c>
      <c r="O15" s="19">
        <f t="shared" si="3"/>
        <v>0</v>
      </c>
    </row>
    <row r="16" spans="2:15" x14ac:dyDescent="0.45">
      <c r="M16" s="19">
        <f t="shared" si="1"/>
        <v>0</v>
      </c>
      <c r="N16" s="19">
        <f t="shared" si="2"/>
        <v>0</v>
      </c>
      <c r="O16" s="19">
        <f t="shared" si="3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지혜</dc:creator>
  <cp:lastModifiedBy>양 지혜</cp:lastModifiedBy>
  <dcterms:created xsi:type="dcterms:W3CDTF">2026-03-23T11:15:16Z</dcterms:created>
  <dcterms:modified xsi:type="dcterms:W3CDTF">2026-03-26T06:04:49Z</dcterms:modified>
</cp:coreProperties>
</file>